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KEHAIXING\Desktop\"/>
    </mc:Choice>
  </mc:AlternateContent>
  <xr:revisionPtr revIDLastSave="0" documentId="13_ncr:1_{8F218C1F-87A3-43CD-9310-1314724E8CE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4" i="1" l="1"/>
  <c r="D61" i="1"/>
  <c r="D58" i="1"/>
  <c r="D55" i="1"/>
  <c r="D52" i="1"/>
  <c r="D49" i="1"/>
  <c r="D46" i="1"/>
  <c r="D43" i="1"/>
  <c r="D40" i="1"/>
  <c r="D37" i="1"/>
  <c r="D34" i="1"/>
  <c r="D31" i="1"/>
  <c r="D28" i="1"/>
  <c r="D25" i="1"/>
  <c r="D22" i="1"/>
  <c r="D19" i="1"/>
  <c r="D16" i="1"/>
  <c r="D13" i="1"/>
  <c r="D10" i="1"/>
  <c r="D7" i="1"/>
  <c r="D4" i="1"/>
  <c r="D63" i="1"/>
  <c r="D60" i="1"/>
  <c r="D57" i="1"/>
  <c r="D54" i="1"/>
  <c r="D51" i="1"/>
  <c r="D48" i="1"/>
  <c r="D45" i="1"/>
  <c r="D42" i="1"/>
  <c r="D39" i="1"/>
  <c r="D36" i="1"/>
  <c r="D33" i="1"/>
  <c r="D30" i="1"/>
  <c r="D27" i="1"/>
  <c r="D24" i="1"/>
  <c r="D21" i="1"/>
  <c r="D18" i="1"/>
  <c r="D15" i="1"/>
  <c r="D12" i="1"/>
  <c r="D9" i="1"/>
  <c r="D6" i="1"/>
  <c r="D3" i="1"/>
  <c r="D62" i="1"/>
  <c r="D59" i="1"/>
  <c r="D56" i="1"/>
  <c r="D53" i="1"/>
  <c r="D50" i="1"/>
  <c r="D47" i="1"/>
  <c r="D44" i="1"/>
  <c r="D41" i="1"/>
  <c r="D38" i="1"/>
  <c r="D35" i="1"/>
  <c r="D32" i="1"/>
  <c r="D29" i="1"/>
  <c r="D26" i="1"/>
  <c r="D23" i="1"/>
  <c r="D20" i="1"/>
  <c r="D17" i="1"/>
  <c r="D14" i="1"/>
  <c r="D11" i="1"/>
  <c r="D8" i="1"/>
  <c r="D5" i="1"/>
  <c r="D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2" i="1"/>
</calcChain>
</file>

<file path=xl/sharedStrings.xml><?xml version="1.0" encoding="utf-8"?>
<sst xmlns="http://schemas.openxmlformats.org/spreadsheetml/2006/main" count="103" uniqueCount="44">
  <si>
    <t>日期</t>
  </si>
  <si>
    <t>编号</t>
  </si>
  <si>
    <t>体重(g)</t>
  </si>
  <si>
    <t>体重比</t>
  </si>
  <si>
    <t>trial数</t>
  </si>
  <si>
    <t>时长(min)</t>
  </si>
  <si>
    <t>平均速度(trial/min)</t>
  </si>
  <si>
    <t>模式更改</t>
  </si>
  <si>
    <t>2月19</t>
    <phoneticPr fontId="1" type="noConversion"/>
  </si>
  <si>
    <t>2月20</t>
    <phoneticPr fontId="1" type="noConversion"/>
  </si>
  <si>
    <t>2月21</t>
  </si>
  <si>
    <t>2月22</t>
  </si>
  <si>
    <t>2月23</t>
  </si>
  <si>
    <t>2月24</t>
  </si>
  <si>
    <t>2月25</t>
  </si>
  <si>
    <t>2月26</t>
  </si>
  <si>
    <t>2月27</t>
  </si>
  <si>
    <t>2月28</t>
  </si>
  <si>
    <t>3月1</t>
    <phoneticPr fontId="1" type="noConversion"/>
  </si>
  <si>
    <t>1_2</t>
    <phoneticPr fontId="1" type="noConversion"/>
  </si>
  <si>
    <t>1_3</t>
    <phoneticPr fontId="1" type="noConversion"/>
  </si>
  <si>
    <t>1_4</t>
    <phoneticPr fontId="1" type="noConversion"/>
  </si>
  <si>
    <t>速度逐渐接近3trial/min，1.5h后加入第三个位置</t>
    <phoneticPr fontId="1" type="noConversion"/>
  </si>
  <si>
    <t>随机两个位置，后随机三个位置</t>
    <phoneticPr fontId="1" type="noConversion"/>
  </si>
  <si>
    <t>备注</t>
    <phoneticPr fontId="1" type="noConversion"/>
  </si>
  <si>
    <t>3月2</t>
  </si>
  <si>
    <t>3月3</t>
  </si>
  <si>
    <t>3月4</t>
  </si>
  <si>
    <t>3月5</t>
  </si>
  <si>
    <t>3月6</t>
  </si>
  <si>
    <t>3月7</t>
  </si>
  <si>
    <t>3月8</t>
  </si>
  <si>
    <t>3月9</t>
  </si>
  <si>
    <t>3月10</t>
  </si>
  <si>
    <t>3月11</t>
  </si>
  <si>
    <t>1_4</t>
    <phoneticPr fontId="1" type="noConversion"/>
  </si>
  <si>
    <t>偏移135°</t>
    <phoneticPr fontId="1" type="noConversion"/>
  </si>
  <si>
    <t>5分钟内积极尝试，后续10分钟内做的很快，仍然有往90°跑的情况但很快就去135°方向</t>
    <phoneticPr fontId="1" type="noConversion"/>
  </si>
  <si>
    <t>原始体重</t>
    <phoneticPr fontId="1" type="noConversion"/>
  </si>
  <si>
    <t>0,1,2,3对应角度20,110, 200, 290，前几天误设置稍偏移一些角度</t>
    <phoneticPr fontId="1" type="noConversion"/>
  </si>
  <si>
    <t>开始训练记录</t>
    <phoneticPr fontId="1" type="noConversion"/>
  </si>
  <si>
    <t>开始适应训练</t>
    <phoneticPr fontId="1" type="noConversion"/>
  </si>
  <si>
    <t>0,1两个位置各20次轮换，下同</t>
    <phoneticPr fontId="1" type="noConversion"/>
  </si>
  <si>
    <t>未训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</si>
</sst>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topLeftCell="A24" workbookViewId="0">
      <selection activeCell="F38" sqref="F38:F40"/>
    </sheetView>
  </sheetViews>
  <sheetFormatPr defaultRowHeight="14.25" x14ac:dyDescent="0.2"/>
  <cols>
    <col min="1" max="4" width="9" style="1"/>
    <col min="5" max="5" width="17.375" style="2" customWidth="1"/>
    <col min="6" max="6" width="39.375" style="2" customWidth="1"/>
    <col min="7" max="10" width="9" style="1"/>
    <col min="11" max="11" width="17" style="1" customWidth="1"/>
    <col min="12" max="16384" width="9" style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7</v>
      </c>
      <c r="F1" s="2" t="s">
        <v>24</v>
      </c>
      <c r="G1" s="1" t="s">
        <v>38</v>
      </c>
      <c r="I1" s="1" t="s">
        <v>4</v>
      </c>
      <c r="J1" s="1" t="s">
        <v>5</v>
      </c>
      <c r="K1" s="1" t="s">
        <v>6</v>
      </c>
    </row>
    <row r="2" spans="1:11" x14ac:dyDescent="0.2">
      <c r="A2" s="4" t="s">
        <v>8</v>
      </c>
      <c r="B2" s="1" t="s">
        <v>19</v>
      </c>
      <c r="C2" s="1">
        <v>18.3</v>
      </c>
      <c r="D2" s="1">
        <f>C2/$G$2</f>
        <v>0.84331797235023043</v>
      </c>
      <c r="F2" s="5" t="s">
        <v>39</v>
      </c>
      <c r="G2" s="1">
        <v>21.7</v>
      </c>
      <c r="K2" s="1" t="e">
        <f>I2/J2</f>
        <v>#DIV/0!</v>
      </c>
    </row>
    <row r="3" spans="1:11" x14ac:dyDescent="0.2">
      <c r="A3" s="4"/>
      <c r="B3" s="1" t="s">
        <v>20</v>
      </c>
      <c r="C3" s="1">
        <v>19.2</v>
      </c>
      <c r="D3" s="1">
        <f>C3/$G$3</f>
        <v>0.79338842975206614</v>
      </c>
      <c r="F3" s="5"/>
      <c r="G3" s="1">
        <v>24.2</v>
      </c>
      <c r="K3" s="1" t="e">
        <f t="shared" ref="K3:K34" si="0">I3/J3</f>
        <v>#DIV/0!</v>
      </c>
    </row>
    <row r="4" spans="1:11" x14ac:dyDescent="0.2">
      <c r="A4" s="4"/>
      <c r="B4" s="1" t="s">
        <v>21</v>
      </c>
      <c r="C4" s="1">
        <v>17.2</v>
      </c>
      <c r="D4" s="1">
        <f>C4/$G$4</f>
        <v>0.80373831775700932</v>
      </c>
      <c r="F4" s="5"/>
      <c r="G4" s="1">
        <v>21.4</v>
      </c>
      <c r="K4" s="1" t="e">
        <f t="shared" si="0"/>
        <v>#DIV/0!</v>
      </c>
    </row>
    <row r="5" spans="1:11" x14ac:dyDescent="0.2">
      <c r="A5" s="4" t="s">
        <v>9</v>
      </c>
      <c r="B5" s="1" t="s">
        <v>19</v>
      </c>
      <c r="C5" s="1">
        <v>19</v>
      </c>
      <c r="D5" s="3">
        <f>C5/$G$2</f>
        <v>0.87557603686635943</v>
      </c>
      <c r="E5" s="5" t="s">
        <v>42</v>
      </c>
      <c r="F5" s="5" t="s">
        <v>41</v>
      </c>
      <c r="K5" s="1" t="e">
        <f t="shared" si="0"/>
        <v>#DIV/0!</v>
      </c>
    </row>
    <row r="6" spans="1:11" x14ac:dyDescent="0.2">
      <c r="A6" s="4"/>
      <c r="B6" s="1" t="s">
        <v>20</v>
      </c>
      <c r="C6" s="1">
        <v>20.399999999999999</v>
      </c>
      <c r="D6" s="3">
        <f>C6/$G$3</f>
        <v>0.84297520661157022</v>
      </c>
      <c r="E6" s="5"/>
      <c r="F6" s="5"/>
      <c r="K6" s="1" t="e">
        <f t="shared" si="0"/>
        <v>#DIV/0!</v>
      </c>
    </row>
    <row r="7" spans="1:11" x14ac:dyDescent="0.2">
      <c r="A7" s="4"/>
      <c r="B7" s="1" t="s">
        <v>21</v>
      </c>
      <c r="C7" s="1">
        <v>18.7</v>
      </c>
      <c r="D7" s="3">
        <f>C7/$G$4</f>
        <v>0.87383177570093462</v>
      </c>
      <c r="E7" s="5"/>
      <c r="F7" s="5"/>
      <c r="K7" s="1" t="e">
        <f t="shared" si="0"/>
        <v>#DIV/0!</v>
      </c>
    </row>
    <row r="8" spans="1:11" x14ac:dyDescent="0.2">
      <c r="A8" s="4" t="s">
        <v>10</v>
      </c>
      <c r="B8" s="1" t="s">
        <v>19</v>
      </c>
      <c r="C8" s="1">
        <v>18.100000000000001</v>
      </c>
      <c r="D8" s="3">
        <f>C8/$G$2</f>
        <v>0.83410138248847931</v>
      </c>
      <c r="F8" s="5" t="s">
        <v>40</v>
      </c>
      <c r="I8" s="1">
        <v>124</v>
      </c>
      <c r="J8" s="1">
        <v>92</v>
      </c>
      <c r="K8" s="1">
        <f t="shared" si="0"/>
        <v>1.3478260869565217</v>
      </c>
    </row>
    <row r="9" spans="1:11" x14ac:dyDescent="0.2">
      <c r="A9" s="4"/>
      <c r="B9" s="1" t="s">
        <v>20</v>
      </c>
      <c r="C9" s="1">
        <v>19.3</v>
      </c>
      <c r="D9" s="3">
        <f>C9/$G$3</f>
        <v>0.7975206611570248</v>
      </c>
      <c r="F9" s="5"/>
      <c r="K9" s="1" t="e">
        <f t="shared" si="0"/>
        <v>#DIV/0!</v>
      </c>
    </row>
    <row r="10" spans="1:11" x14ac:dyDescent="0.2">
      <c r="A10" s="4"/>
      <c r="B10" s="1" t="s">
        <v>21</v>
      </c>
      <c r="C10" s="1">
        <v>18.100000000000001</v>
      </c>
      <c r="D10" s="3">
        <f>C10/$G$4</f>
        <v>0.84579439252336464</v>
      </c>
      <c r="F10" s="5"/>
      <c r="K10" s="1" t="e">
        <f t="shared" si="0"/>
        <v>#DIV/0!</v>
      </c>
    </row>
    <row r="11" spans="1:11" x14ac:dyDescent="0.2">
      <c r="A11" s="4" t="s">
        <v>11</v>
      </c>
      <c r="B11" s="1" t="s">
        <v>19</v>
      </c>
      <c r="C11" s="1">
        <v>17.600000000000001</v>
      </c>
      <c r="D11" s="3">
        <f>C11/$G$2</f>
        <v>0.81105990783410142</v>
      </c>
      <c r="K11" s="1" t="e">
        <f t="shared" si="0"/>
        <v>#DIV/0!</v>
      </c>
    </row>
    <row r="12" spans="1:11" x14ac:dyDescent="0.2">
      <c r="A12" s="4"/>
      <c r="B12" s="1" t="s">
        <v>20</v>
      </c>
      <c r="C12" s="1">
        <v>19.899999999999999</v>
      </c>
      <c r="D12" s="3">
        <f>C12/$G$3</f>
        <v>0.82231404958677679</v>
      </c>
      <c r="K12" s="1" t="e">
        <f t="shared" si="0"/>
        <v>#DIV/0!</v>
      </c>
    </row>
    <row r="13" spans="1:11" x14ac:dyDescent="0.2">
      <c r="A13" s="4"/>
      <c r="B13" s="1" t="s">
        <v>21</v>
      </c>
      <c r="C13" s="1">
        <v>17.5</v>
      </c>
      <c r="D13" s="3">
        <f>C13/$G$4</f>
        <v>0.81775700934579443</v>
      </c>
      <c r="K13" s="1" t="e">
        <f t="shared" si="0"/>
        <v>#DIV/0!</v>
      </c>
    </row>
    <row r="14" spans="1:11" x14ac:dyDescent="0.2">
      <c r="A14" s="4" t="s">
        <v>12</v>
      </c>
      <c r="B14" s="1" t="s">
        <v>19</v>
      </c>
      <c r="C14" s="1">
        <v>16.7</v>
      </c>
      <c r="D14" s="3">
        <f>C14/$G$2</f>
        <v>0.7695852534562212</v>
      </c>
      <c r="K14" s="1" t="e">
        <f t="shared" si="0"/>
        <v>#DIV/0!</v>
      </c>
    </row>
    <row r="15" spans="1:11" x14ac:dyDescent="0.2">
      <c r="A15" s="4"/>
      <c r="B15" s="1" t="s">
        <v>20</v>
      </c>
      <c r="C15" s="1">
        <v>19.5</v>
      </c>
      <c r="D15" s="3">
        <f>C15/$G$3</f>
        <v>0.80578512396694213</v>
      </c>
      <c r="K15" s="1" t="e">
        <f t="shared" si="0"/>
        <v>#DIV/0!</v>
      </c>
    </row>
    <row r="16" spans="1:11" x14ac:dyDescent="0.2">
      <c r="A16" s="4"/>
      <c r="B16" s="1" t="s">
        <v>21</v>
      </c>
      <c r="C16" s="1">
        <v>17.8</v>
      </c>
      <c r="D16" s="3">
        <f>C16/$G$4</f>
        <v>0.83177570093457953</v>
      </c>
      <c r="K16" s="1" t="e">
        <f t="shared" si="0"/>
        <v>#DIV/0!</v>
      </c>
    </row>
    <row r="17" spans="1:11" x14ac:dyDescent="0.2">
      <c r="A17" s="4" t="s">
        <v>13</v>
      </c>
      <c r="B17" s="1" t="s">
        <v>19</v>
      </c>
      <c r="C17" s="1">
        <v>17.100000000000001</v>
      </c>
      <c r="D17" s="3">
        <f>C17/$G$2</f>
        <v>0.78801843317972364</v>
      </c>
      <c r="K17" s="1" t="e">
        <f t="shared" si="0"/>
        <v>#DIV/0!</v>
      </c>
    </row>
    <row r="18" spans="1:11" x14ac:dyDescent="0.2">
      <c r="A18" s="4"/>
      <c r="B18" s="1" t="s">
        <v>20</v>
      </c>
      <c r="C18" s="1">
        <v>19.5</v>
      </c>
      <c r="D18" s="3">
        <f>C18/$G$3</f>
        <v>0.80578512396694213</v>
      </c>
      <c r="K18" s="1" t="e">
        <f t="shared" si="0"/>
        <v>#DIV/0!</v>
      </c>
    </row>
    <row r="19" spans="1:11" x14ac:dyDescent="0.2">
      <c r="A19" s="4"/>
      <c r="B19" s="1" t="s">
        <v>21</v>
      </c>
      <c r="C19" s="1">
        <v>17.8</v>
      </c>
      <c r="D19" s="3">
        <f>C19/$G$4</f>
        <v>0.83177570093457953</v>
      </c>
      <c r="K19" s="1" t="e">
        <f t="shared" si="0"/>
        <v>#DIV/0!</v>
      </c>
    </row>
    <row r="20" spans="1:11" x14ac:dyDescent="0.2">
      <c r="A20" s="4" t="s">
        <v>14</v>
      </c>
      <c r="B20" s="1" t="s">
        <v>19</v>
      </c>
      <c r="C20" s="1">
        <v>17.7</v>
      </c>
      <c r="D20" s="3">
        <f>C20/$G$2</f>
        <v>0.81566820276497698</v>
      </c>
      <c r="K20" s="1" t="e">
        <f t="shared" si="0"/>
        <v>#DIV/0!</v>
      </c>
    </row>
    <row r="21" spans="1:11" ht="28.5" x14ac:dyDescent="0.2">
      <c r="A21" s="4"/>
      <c r="B21" s="1" t="s">
        <v>20</v>
      </c>
      <c r="C21" s="1">
        <v>19.899999999999999</v>
      </c>
      <c r="D21" s="3">
        <f>C21/$G$3</f>
        <v>0.82231404958677679</v>
      </c>
      <c r="E21" s="2" t="s">
        <v>23</v>
      </c>
      <c r="F21" s="2" t="s">
        <v>22</v>
      </c>
      <c r="K21" s="1" t="e">
        <f t="shared" si="0"/>
        <v>#DIV/0!</v>
      </c>
    </row>
    <row r="22" spans="1:11" x14ac:dyDescent="0.2">
      <c r="A22" s="4"/>
      <c r="B22" s="1" t="s">
        <v>21</v>
      </c>
      <c r="C22" s="1">
        <v>18.5</v>
      </c>
      <c r="D22" s="3">
        <f>C22/$G$4</f>
        <v>0.86448598130841126</v>
      </c>
      <c r="K22" s="1" t="e">
        <f t="shared" si="0"/>
        <v>#DIV/0!</v>
      </c>
    </row>
    <row r="23" spans="1:11" x14ac:dyDescent="0.2">
      <c r="A23" s="4" t="s">
        <v>15</v>
      </c>
      <c r="B23" s="1" t="s">
        <v>19</v>
      </c>
      <c r="C23" s="1">
        <v>18.399999999999999</v>
      </c>
      <c r="D23" s="3">
        <f>C23/$G$2</f>
        <v>0.84792626728110598</v>
      </c>
      <c r="K23" s="1" t="e">
        <f t="shared" si="0"/>
        <v>#DIV/0!</v>
      </c>
    </row>
    <row r="24" spans="1:11" x14ac:dyDescent="0.2">
      <c r="A24" s="4"/>
      <c r="B24" s="1" t="s">
        <v>20</v>
      </c>
      <c r="C24" s="1">
        <v>19.5</v>
      </c>
      <c r="D24" s="3">
        <f>C24/$G$3</f>
        <v>0.80578512396694213</v>
      </c>
      <c r="K24" s="1" t="e">
        <f t="shared" si="0"/>
        <v>#DIV/0!</v>
      </c>
    </row>
    <row r="25" spans="1:11" x14ac:dyDescent="0.2">
      <c r="A25" s="4"/>
      <c r="B25" s="1" t="s">
        <v>21</v>
      </c>
      <c r="C25" s="1">
        <v>18.3</v>
      </c>
      <c r="D25" s="3">
        <f>C25/$G$4</f>
        <v>0.85514018691588789</v>
      </c>
      <c r="K25" s="1" t="e">
        <f t="shared" si="0"/>
        <v>#DIV/0!</v>
      </c>
    </row>
    <row r="26" spans="1:11" x14ac:dyDescent="0.2">
      <c r="A26" s="4" t="s">
        <v>16</v>
      </c>
      <c r="B26" s="1" t="s">
        <v>19</v>
      </c>
      <c r="C26" s="1">
        <v>18.3</v>
      </c>
      <c r="D26" s="3">
        <f>C26/$G$2</f>
        <v>0.84331797235023043</v>
      </c>
      <c r="K26" s="1" t="e">
        <f t="shared" si="0"/>
        <v>#DIV/0!</v>
      </c>
    </row>
    <row r="27" spans="1:11" x14ac:dyDescent="0.2">
      <c r="A27" s="4"/>
      <c r="B27" s="1" t="s">
        <v>20</v>
      </c>
      <c r="C27" s="1">
        <v>19.600000000000001</v>
      </c>
      <c r="D27" s="3">
        <f>C27/$G$3</f>
        <v>0.8099173553719009</v>
      </c>
      <c r="K27" s="1" t="e">
        <f t="shared" si="0"/>
        <v>#DIV/0!</v>
      </c>
    </row>
    <row r="28" spans="1:11" x14ac:dyDescent="0.2">
      <c r="A28" s="4"/>
      <c r="B28" s="1" t="s">
        <v>21</v>
      </c>
      <c r="C28" s="1">
        <v>18.600000000000001</v>
      </c>
      <c r="D28" s="3">
        <f>C28/$G$4</f>
        <v>0.86915887850467299</v>
      </c>
      <c r="K28" s="1" t="e">
        <f t="shared" si="0"/>
        <v>#DIV/0!</v>
      </c>
    </row>
    <row r="29" spans="1:11" x14ac:dyDescent="0.2">
      <c r="A29" s="4" t="s">
        <v>17</v>
      </c>
      <c r="B29" s="1" t="s">
        <v>19</v>
      </c>
      <c r="C29" s="1">
        <v>18.7</v>
      </c>
      <c r="D29" s="3">
        <f>C29/$G$2</f>
        <v>0.86175115207373276</v>
      </c>
      <c r="K29" s="1" t="e">
        <f t="shared" si="0"/>
        <v>#DIV/0!</v>
      </c>
    </row>
    <row r="30" spans="1:11" x14ac:dyDescent="0.2">
      <c r="A30" s="4"/>
      <c r="B30" s="1" t="s">
        <v>20</v>
      </c>
      <c r="C30" s="1">
        <v>20.399999999999999</v>
      </c>
      <c r="D30" s="3">
        <f>C30/$G$3</f>
        <v>0.84297520661157022</v>
      </c>
      <c r="K30" s="1" t="e">
        <f t="shared" si="0"/>
        <v>#DIV/0!</v>
      </c>
    </row>
    <row r="31" spans="1:11" x14ac:dyDescent="0.2">
      <c r="A31" s="4"/>
      <c r="B31" s="1" t="s">
        <v>21</v>
      </c>
      <c r="C31" s="1">
        <v>18.8</v>
      </c>
      <c r="D31" s="3">
        <f>C31/$G$4</f>
        <v>0.87850467289719636</v>
      </c>
      <c r="K31" s="1" t="e">
        <f t="shared" si="0"/>
        <v>#DIV/0!</v>
      </c>
    </row>
    <row r="32" spans="1:11" x14ac:dyDescent="0.2">
      <c r="A32" s="4" t="s">
        <v>18</v>
      </c>
      <c r="B32" s="1" t="s">
        <v>19</v>
      </c>
      <c r="C32" s="1">
        <v>18.5</v>
      </c>
      <c r="D32" s="3">
        <f>C32/$G$2</f>
        <v>0.85253456221198165</v>
      </c>
      <c r="K32" s="1" t="e">
        <f t="shared" si="0"/>
        <v>#DIV/0!</v>
      </c>
    </row>
    <row r="33" spans="1:11" x14ac:dyDescent="0.2">
      <c r="A33" s="4"/>
      <c r="B33" s="1" t="s">
        <v>20</v>
      </c>
      <c r="C33" s="1">
        <v>20.3</v>
      </c>
      <c r="D33" s="3">
        <f>C33/$G$3</f>
        <v>0.83884297520661166</v>
      </c>
      <c r="K33" s="1" t="e">
        <f t="shared" si="0"/>
        <v>#DIV/0!</v>
      </c>
    </row>
    <row r="34" spans="1:11" x14ac:dyDescent="0.2">
      <c r="A34" s="4"/>
      <c r="B34" s="1" t="s">
        <v>21</v>
      </c>
      <c r="C34" s="1">
        <v>18.8</v>
      </c>
      <c r="D34" s="3">
        <f>C34/$G$4</f>
        <v>0.87850467289719636</v>
      </c>
      <c r="K34" s="1" t="e">
        <f t="shared" si="0"/>
        <v>#DIV/0!</v>
      </c>
    </row>
    <row r="35" spans="1:11" x14ac:dyDescent="0.2">
      <c r="A35" s="4" t="s">
        <v>25</v>
      </c>
      <c r="B35" s="3" t="s">
        <v>19</v>
      </c>
      <c r="D35" s="3">
        <f>C35/$G$2</f>
        <v>0</v>
      </c>
    </row>
    <row r="36" spans="1:11" x14ac:dyDescent="0.2">
      <c r="A36" s="4"/>
      <c r="B36" s="3" t="s">
        <v>20</v>
      </c>
      <c r="D36" s="3">
        <f>C36/$G$3</f>
        <v>0</v>
      </c>
    </row>
    <row r="37" spans="1:11" x14ac:dyDescent="0.2">
      <c r="A37" s="4"/>
      <c r="B37" s="3" t="s">
        <v>21</v>
      </c>
      <c r="D37" s="3">
        <f>C37/$G$4</f>
        <v>0</v>
      </c>
    </row>
    <row r="38" spans="1:11" x14ac:dyDescent="0.2">
      <c r="A38" s="4" t="s">
        <v>26</v>
      </c>
      <c r="B38" s="3" t="s">
        <v>19</v>
      </c>
      <c r="C38" s="1">
        <v>18.899999999999999</v>
      </c>
      <c r="D38" s="3">
        <f>C38/$G$2</f>
        <v>0.87096774193548387</v>
      </c>
      <c r="F38" s="5" t="s">
        <v>43</v>
      </c>
    </row>
    <row r="39" spans="1:11" x14ac:dyDescent="0.2">
      <c r="A39" s="4"/>
      <c r="B39" s="3" t="s">
        <v>20</v>
      </c>
      <c r="C39" s="1">
        <v>20.399999999999999</v>
      </c>
      <c r="D39" s="3">
        <f>C39/$G$3</f>
        <v>0.84297520661157022</v>
      </c>
      <c r="F39" s="5"/>
    </row>
    <row r="40" spans="1:11" x14ac:dyDescent="0.2">
      <c r="A40" s="4"/>
      <c r="B40" s="3" t="s">
        <v>21</v>
      </c>
      <c r="C40" s="1">
        <v>19.100000000000001</v>
      </c>
      <c r="D40" s="3">
        <f>C40/$G$4</f>
        <v>0.89252336448598146</v>
      </c>
      <c r="F40" s="5"/>
    </row>
    <row r="41" spans="1:11" x14ac:dyDescent="0.2">
      <c r="A41" s="4" t="s">
        <v>27</v>
      </c>
      <c r="B41" s="3" t="s">
        <v>19</v>
      </c>
      <c r="C41" s="1">
        <v>19</v>
      </c>
      <c r="D41" s="3">
        <f>C41/$G$2</f>
        <v>0.87557603686635943</v>
      </c>
    </row>
    <row r="42" spans="1:11" x14ac:dyDescent="0.2">
      <c r="A42" s="4"/>
      <c r="B42" s="3" t="s">
        <v>20</v>
      </c>
      <c r="C42" s="1">
        <v>20.399999999999999</v>
      </c>
      <c r="D42" s="3">
        <f>C42/$G$3</f>
        <v>0.84297520661157022</v>
      </c>
    </row>
    <row r="43" spans="1:11" x14ac:dyDescent="0.2">
      <c r="A43" s="4"/>
      <c r="B43" s="3" t="s">
        <v>21</v>
      </c>
      <c r="C43" s="1">
        <v>20</v>
      </c>
      <c r="D43" s="3">
        <f>C43/$G$4</f>
        <v>0.93457943925233655</v>
      </c>
    </row>
    <row r="44" spans="1:11" x14ac:dyDescent="0.2">
      <c r="A44" s="4" t="s">
        <v>28</v>
      </c>
      <c r="B44" s="3" t="s">
        <v>19</v>
      </c>
      <c r="C44" s="1">
        <v>19.5</v>
      </c>
      <c r="D44" s="3">
        <f>C44/$G$2</f>
        <v>0.89861751152073732</v>
      </c>
    </row>
    <row r="45" spans="1:11" x14ac:dyDescent="0.2">
      <c r="A45" s="4"/>
      <c r="B45" s="3" t="s">
        <v>20</v>
      </c>
      <c r="C45" s="1">
        <v>20.2</v>
      </c>
      <c r="D45" s="3">
        <f>C45/$G$3</f>
        <v>0.83471074380165289</v>
      </c>
    </row>
    <row r="46" spans="1:11" x14ac:dyDescent="0.2">
      <c r="A46" s="4"/>
      <c r="B46" s="3" t="s">
        <v>21</v>
      </c>
      <c r="C46" s="1">
        <v>18.5</v>
      </c>
      <c r="D46" s="3">
        <f>C46/$G$4</f>
        <v>0.86448598130841126</v>
      </c>
    </row>
    <row r="47" spans="1:11" x14ac:dyDescent="0.2">
      <c r="A47" s="4" t="s">
        <v>29</v>
      </c>
      <c r="B47" s="3" t="s">
        <v>19</v>
      </c>
      <c r="C47" s="1">
        <v>19.399999999999999</v>
      </c>
      <c r="D47" s="3">
        <f>C47/$G$2</f>
        <v>0.89400921658986177</v>
      </c>
    </row>
    <row r="48" spans="1:11" x14ac:dyDescent="0.2">
      <c r="A48" s="4"/>
      <c r="B48" s="3" t="s">
        <v>20</v>
      </c>
      <c r="C48" s="1">
        <v>19.899999999999999</v>
      </c>
      <c r="D48" s="3">
        <f>C48/$G$3</f>
        <v>0.82231404958677679</v>
      </c>
    </row>
    <row r="49" spans="1:6" x14ac:dyDescent="0.2">
      <c r="A49" s="4"/>
      <c r="B49" s="3" t="s">
        <v>21</v>
      </c>
      <c r="C49" s="1">
        <v>18.399999999999999</v>
      </c>
      <c r="D49" s="3">
        <f>C49/$G$4</f>
        <v>0.85981308411214952</v>
      </c>
    </row>
    <row r="50" spans="1:6" x14ac:dyDescent="0.2">
      <c r="A50" s="4" t="s">
        <v>30</v>
      </c>
      <c r="B50" s="3" t="s">
        <v>19</v>
      </c>
      <c r="C50" s="1">
        <v>20.7</v>
      </c>
      <c r="D50" s="3">
        <f>C50/$G$2</f>
        <v>0.95391705069124422</v>
      </c>
    </row>
    <row r="51" spans="1:6" x14ac:dyDescent="0.2">
      <c r="A51" s="4"/>
      <c r="B51" s="3" t="s">
        <v>20</v>
      </c>
      <c r="C51" s="1">
        <v>21.2</v>
      </c>
      <c r="D51" s="3">
        <f>C51/$G$3</f>
        <v>0.87603305785123964</v>
      </c>
    </row>
    <row r="52" spans="1:6" x14ac:dyDescent="0.2">
      <c r="A52" s="4"/>
      <c r="B52" s="3" t="s">
        <v>21</v>
      </c>
      <c r="C52" s="1">
        <v>19.7</v>
      </c>
      <c r="D52" s="3">
        <f>C52/$G$4</f>
        <v>0.92056074766355145</v>
      </c>
    </row>
    <row r="53" spans="1:6" x14ac:dyDescent="0.2">
      <c r="A53" s="4" t="s">
        <v>31</v>
      </c>
      <c r="B53" s="3" t="s">
        <v>19</v>
      </c>
      <c r="C53" s="1">
        <v>19.399999999999999</v>
      </c>
      <c r="D53" s="3">
        <f>C53/$G$2</f>
        <v>0.89400921658986177</v>
      </c>
    </row>
    <row r="54" spans="1:6" x14ac:dyDescent="0.2">
      <c r="A54" s="4"/>
      <c r="B54" s="3" t="s">
        <v>20</v>
      </c>
      <c r="C54" s="1">
        <v>20.2</v>
      </c>
      <c r="D54" s="3">
        <f>C54/$G$3</f>
        <v>0.83471074380165289</v>
      </c>
    </row>
    <row r="55" spans="1:6" x14ac:dyDescent="0.2">
      <c r="A55" s="4"/>
      <c r="B55" s="3" t="s">
        <v>21</v>
      </c>
      <c r="C55" s="1">
        <v>19.100000000000001</v>
      </c>
      <c r="D55" s="3">
        <f>C55/$G$4</f>
        <v>0.89252336448598146</v>
      </c>
    </row>
    <row r="56" spans="1:6" x14ac:dyDescent="0.2">
      <c r="A56" s="4" t="s">
        <v>32</v>
      </c>
      <c r="B56" s="3" t="s">
        <v>19</v>
      </c>
      <c r="C56" s="1">
        <v>20.399999999999999</v>
      </c>
      <c r="D56" s="3">
        <f>C56/$G$2</f>
        <v>0.94009216589861744</v>
      </c>
    </row>
    <row r="57" spans="1:6" x14ac:dyDescent="0.2">
      <c r="A57" s="4"/>
      <c r="B57" s="3" t="s">
        <v>20</v>
      </c>
      <c r="C57" s="1">
        <v>20.5</v>
      </c>
      <c r="D57" s="3">
        <f>C57/$G$3</f>
        <v>0.84710743801652899</v>
      </c>
    </row>
    <row r="58" spans="1:6" x14ac:dyDescent="0.2">
      <c r="A58" s="4"/>
      <c r="B58" s="3" t="s">
        <v>21</v>
      </c>
      <c r="C58" s="1">
        <v>18.600000000000001</v>
      </c>
      <c r="D58" s="3">
        <f>C58/$G$4</f>
        <v>0.86915887850467299</v>
      </c>
    </row>
    <row r="59" spans="1:6" x14ac:dyDescent="0.2">
      <c r="A59" s="4" t="s">
        <v>33</v>
      </c>
      <c r="B59" s="3" t="s">
        <v>19</v>
      </c>
      <c r="C59" s="1">
        <v>19.7</v>
      </c>
      <c r="D59" s="3">
        <f>C59/$G$2</f>
        <v>0.90783410138248843</v>
      </c>
    </row>
    <row r="60" spans="1:6" x14ac:dyDescent="0.2">
      <c r="A60" s="4"/>
      <c r="B60" s="3" t="s">
        <v>20</v>
      </c>
      <c r="C60" s="1">
        <v>20.5</v>
      </c>
      <c r="D60" s="3">
        <f>C60/$G$3</f>
        <v>0.84710743801652899</v>
      </c>
    </row>
    <row r="61" spans="1:6" x14ac:dyDescent="0.2">
      <c r="A61" s="4"/>
      <c r="B61" s="3" t="s">
        <v>21</v>
      </c>
      <c r="C61" s="1">
        <v>18.899999999999999</v>
      </c>
      <c r="D61" s="3">
        <f>C61/$G$4</f>
        <v>0.88317757009345799</v>
      </c>
    </row>
    <row r="62" spans="1:6" x14ac:dyDescent="0.2">
      <c r="A62" s="4" t="s">
        <v>34</v>
      </c>
      <c r="B62" s="3" t="s">
        <v>19</v>
      </c>
      <c r="C62" s="1">
        <v>17.899999999999999</v>
      </c>
      <c r="D62" s="3">
        <f>C62/$G$2</f>
        <v>0.82488479262672809</v>
      </c>
    </row>
    <row r="63" spans="1:6" x14ac:dyDescent="0.2">
      <c r="A63" s="4"/>
      <c r="B63" s="3" t="s">
        <v>20</v>
      </c>
      <c r="C63" s="1">
        <v>20.6</v>
      </c>
      <c r="D63" s="3">
        <f>C63/$G$3</f>
        <v>0.85123966942148765</v>
      </c>
    </row>
    <row r="64" spans="1:6" ht="28.5" x14ac:dyDescent="0.2">
      <c r="A64" s="4"/>
      <c r="B64" s="1" t="s">
        <v>35</v>
      </c>
      <c r="C64" s="1">
        <v>19</v>
      </c>
      <c r="D64" s="3">
        <f>C64/$G$4</f>
        <v>0.88785046728971972</v>
      </c>
      <c r="E64" s="2" t="s">
        <v>36</v>
      </c>
      <c r="F64" s="2" t="s">
        <v>37</v>
      </c>
    </row>
    <row r="66" spans="2:4" x14ac:dyDescent="0.2">
      <c r="B66" s="3"/>
      <c r="D66" s="3"/>
    </row>
    <row r="67" spans="2:4" x14ac:dyDescent="0.2">
      <c r="D67" s="3"/>
    </row>
    <row r="69" spans="2:4" x14ac:dyDescent="0.2">
      <c r="B69" s="3"/>
      <c r="D69" s="3"/>
    </row>
    <row r="70" spans="2:4" x14ac:dyDescent="0.2">
      <c r="D70" s="3"/>
    </row>
    <row r="73" spans="2:4" x14ac:dyDescent="0.2">
      <c r="D73" s="3"/>
    </row>
  </sheetData>
  <mergeCells count="26">
    <mergeCell ref="E5:E7"/>
    <mergeCell ref="F2:F4"/>
    <mergeCell ref="F5:F7"/>
    <mergeCell ref="F8:F10"/>
    <mergeCell ref="F38:F40"/>
    <mergeCell ref="A2:A4"/>
    <mergeCell ref="A5:A7"/>
    <mergeCell ref="A8:A10"/>
    <mergeCell ref="A11:A13"/>
    <mergeCell ref="A14:A16"/>
    <mergeCell ref="A17:A19"/>
    <mergeCell ref="A35:A37"/>
    <mergeCell ref="A38:A40"/>
    <mergeCell ref="A41:A43"/>
    <mergeCell ref="A44:A46"/>
    <mergeCell ref="A20:A22"/>
    <mergeCell ref="A23:A25"/>
    <mergeCell ref="A26:A28"/>
    <mergeCell ref="A29:A31"/>
    <mergeCell ref="A32:A34"/>
    <mergeCell ref="A62:A64"/>
    <mergeCell ref="A47:A49"/>
    <mergeCell ref="A50:A52"/>
    <mergeCell ref="A53:A55"/>
    <mergeCell ref="A56:A58"/>
    <mergeCell ref="A59:A6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KEHAIXING</dc:creator>
  <cp:lastModifiedBy>KEHAIXING</cp:lastModifiedBy>
  <dcterms:created xsi:type="dcterms:W3CDTF">2015-06-05T18:17:20Z</dcterms:created>
  <dcterms:modified xsi:type="dcterms:W3CDTF">2025-04-06T14:02:02Z</dcterms:modified>
</cp:coreProperties>
</file>